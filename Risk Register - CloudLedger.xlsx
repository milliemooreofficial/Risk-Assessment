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oor\Desktop\Excel\"/>
    </mc:Choice>
  </mc:AlternateContent>
  <xr:revisionPtr revIDLastSave="0" documentId="13_ncr:1_{A99C1F95-C435-41D9-B25D-693FD6A25813}" xr6:coauthVersionLast="47" xr6:coauthVersionMax="47" xr10:uidLastSave="{00000000-0000-0000-0000-000000000000}"/>
  <bookViews>
    <workbookView xWindow="-108" yWindow="-108" windowWidth="23256" windowHeight="12456" xr2:uid="{27E68C28-E7C4-449B-AFC9-B609F1D46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<sst xmlns="http://schemas.openxmlformats.org/spreadsheetml/2006/main" count="127" uniqueCount="95">
  <si>
    <t>Risk ID</t>
  </si>
  <si>
    <t>Asset ID</t>
  </si>
  <si>
    <t>Asset</t>
  </si>
  <si>
    <t>Risk Description</t>
  </si>
  <si>
    <t>Likelihood (1-5)</t>
  </si>
  <si>
    <t>Impact (1-5)</t>
  </si>
  <si>
    <t>Risk Score</t>
  </si>
  <si>
    <t>Rating</t>
  </si>
  <si>
    <t>Existing Controls</t>
  </si>
  <si>
    <t>Risk Owner</t>
  </si>
  <si>
    <t>Treatment</t>
  </si>
  <si>
    <t>Residual Risk</t>
  </si>
  <si>
    <t>R001</t>
  </si>
  <si>
    <t>A002</t>
  </si>
  <si>
    <t>Microsoft 365 Tenant</t>
  </si>
  <si>
    <t>Employee account compromised through phishing attack</t>
  </si>
  <si>
    <t>High</t>
  </si>
  <si>
    <t>Basic spam filtering</t>
  </si>
  <si>
    <t>IT Manager</t>
  </si>
  <si>
    <t>Mitigate</t>
  </si>
  <si>
    <t>R002</t>
  </si>
  <si>
    <t>A001</t>
  </si>
  <si>
    <t>Customer Database</t>
  </si>
  <si>
    <t>Unauthorised access to customer financial data</t>
  </si>
  <si>
    <t>Password authentication</t>
  </si>
  <si>
    <t>R003</t>
  </si>
  <si>
    <t>A004</t>
  </si>
  <si>
    <t>Employee Laptops</t>
  </si>
  <si>
    <t>Ransomware infection on employee devices</t>
  </si>
  <si>
    <t>Antivirus software</t>
  </si>
  <si>
    <t>R004</t>
  </si>
  <si>
    <t>A003</t>
  </si>
  <si>
    <t>Azure Hosting Environment</t>
  </si>
  <si>
    <t>Cloud service outage affecting platform availability</t>
  </si>
  <si>
    <t>Azure redundancy</t>
  </si>
  <si>
    <t>R005</t>
  </si>
  <si>
    <t>A005</t>
  </si>
  <si>
    <t>Payroll Data</t>
  </si>
  <si>
    <t>Third-party payroll provider suffers a data breach</t>
  </si>
  <si>
    <t>Supplier contract</t>
  </si>
  <si>
    <t>HR Manager</t>
  </si>
  <si>
    <t>R006</t>
  </si>
  <si>
    <t>A007</t>
  </si>
  <si>
    <t>Backup Storage Repository</t>
  </si>
  <si>
    <t>Backup restoration fails during recovery event</t>
  </si>
  <si>
    <t>Daily backups</t>
  </si>
  <si>
    <t>R007</t>
  </si>
  <si>
    <t>Insider misuse of customer information</t>
  </si>
  <si>
    <t>User accounts</t>
  </si>
  <si>
    <t>Operations Manager</t>
  </si>
  <si>
    <t>R008</t>
  </si>
  <si>
    <t>Weak passwords lead to account compromise</t>
  </si>
  <si>
    <t>Password policy</t>
  </si>
  <si>
    <t>R009</t>
  </si>
  <si>
    <t>Company laptop lost or stolen</t>
  </si>
  <si>
    <t>Medium</t>
  </si>
  <si>
    <t>Device passwords</t>
  </si>
  <si>
    <t>R010</t>
  </si>
  <si>
    <t>GDPR non-compliance due to improper handling of personal data</t>
  </si>
  <si>
    <t>Basic staff training</t>
  </si>
  <si>
    <t>Compliance Officer</t>
  </si>
  <si>
    <t>R011</t>
  </si>
  <si>
    <t>A008</t>
  </si>
  <si>
    <t>Source Code Repository</t>
  </si>
  <si>
    <t>Unauthorised access to application source code</t>
  </si>
  <si>
    <t>Developer authentication</t>
  </si>
  <si>
    <t>Development Manager</t>
  </si>
  <si>
    <t>R012</t>
  </si>
  <si>
    <t>A006</t>
  </si>
  <si>
    <t>CRM System</t>
  </si>
  <si>
    <t>Customer information exposed through CRM compromise</t>
  </si>
  <si>
    <t>User authentication</t>
  </si>
  <si>
    <t>Sales Manager</t>
  </si>
  <si>
    <t>R013</t>
  </si>
  <si>
    <t>A010</t>
  </si>
  <si>
    <t>Security Policies &amp; Procedures</t>
  </si>
  <si>
    <t>Outdated security policies result in inconsistent security practices</t>
  </si>
  <si>
    <t>Annual reviews</t>
  </si>
  <si>
    <t>R014</t>
  </si>
  <si>
    <t>A011</t>
  </si>
  <si>
    <t>Customer Support Platform</t>
  </si>
  <si>
    <t>Sensitive customer information exposed through support platform</t>
  </si>
  <si>
    <t>Role-based access</t>
  </si>
  <si>
    <t>R015</t>
  </si>
  <si>
    <t>A013</t>
  </si>
  <si>
    <t>Employee Records</t>
  </si>
  <si>
    <t>Unauthorised access to employee records</t>
  </si>
  <si>
    <t>HR access restrictions</t>
  </si>
  <si>
    <t>Score</t>
  </si>
  <si>
    <t>Low</t>
  </si>
  <si>
    <t>Critical</t>
  </si>
  <si>
    <t>1 to 4</t>
  </si>
  <si>
    <t>5 to 9</t>
  </si>
  <si>
    <t>10 to 16</t>
  </si>
  <si>
    <t>17 to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</si>
</sst>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0" fontId="0" fillId="0" borderId="0" xfId="0" applyAlignment="1">
      <alignment wrapText="1"/>
    </xf>
    <xf numFmtId="16" fontId="2" fillId="0" borderId="2" xfId="0" applyNumberFormat="1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horizontal="right" wrapText="1"/>
    </xf>
  </cellXfs>
  <cellStyles count="1">
    <cellStyle name="Normal" xfId="0" builtinId="0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\-mmm"/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>
          <bgColor rgb="FFFFCC99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rgb="FFF13D3D"/>
        </patternFill>
      </fill>
    </dxf>
    <dxf>
      <fill>
        <patternFill>
          <bgColor theme="9"/>
        </patternFill>
      </fill>
    </dxf>
    <dxf>
      <fill>
        <patternFill>
          <bgColor rgb="FFFFFF99"/>
        </patternFill>
      </fill>
    </dxf>
    <dxf>
      <fill>
        <patternFill>
          <bgColor rgb="FFFFCC99"/>
        </patternFill>
      </fill>
    </dxf>
    <dxf>
      <fill>
        <patternFill>
          <bgColor rgb="FFFFFF9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colors>
    <mruColors>
      <color rgb="FFF13D3D"/>
      <color rgb="FFEE0000"/>
      <color rgb="FFFFCC99"/>
      <color rgb="FFFF99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A7356-AD71-4AC4-A0AF-B6FDD41BCC0E}" name="Table1" displayName="Table1" ref="A1:L16" totalsRowShown="0" headerRowDxfId="19" dataDxfId="20" headerRowBorderDxfId="33" tableBorderDxfId="34" totalsRowBorderDxfId="32">
  <autoFilter ref="A1:L16" xr:uid="{572A7356-AD71-4AC4-A0AF-B6FDD41BCC0E}"/>
  <tableColumns count="12">
    <tableColumn id="1" xr3:uid="{45290301-5585-4AA0-8F2A-5DBBE5530721}" name="Risk ID" dataDxfId="31"/>
    <tableColumn id="2" xr3:uid="{F8B63DA7-9ABF-487A-B760-FD8A7A35DBB4}" name="Asset ID" dataDxfId="30"/>
    <tableColumn id="3" xr3:uid="{5E24A021-B178-4E5D-AC99-DD46B56200E3}" name="Asset" dataDxfId="29"/>
    <tableColumn id="4" xr3:uid="{8A1E936C-E381-496E-BF2D-9971D28688DE}" name="Risk Description" dataDxfId="18"/>
    <tableColumn id="5" xr3:uid="{F34A04AB-660D-4AB6-A4B6-0E414A19D8D3}" name="Likelihood (1-5)" dataDxfId="28"/>
    <tableColumn id="6" xr3:uid="{1100E9D2-DE30-4814-A71B-FA8EBC3551B4}" name="Impact (1-5)" dataDxfId="27"/>
    <tableColumn id="7" xr3:uid="{C43D72D5-266A-4979-B68C-147E51D67780}" name="Risk Score" dataDxfId="26">
      <calculatedColumnFormula>E2*F2</calculatedColumnFormula>
    </tableColumn>
    <tableColumn id="8" xr3:uid="{8D0E3C2D-775F-41FB-A6B7-CFC4C4AC5A14}" name="Rating" dataDxfId="25">
      <calculatedColumnFormula>IF(G2&gt;=17,"Critical",IF(G2&gt;=10,"High",IF(G2&gt;=5,"Medium","Low")))</calculatedColumnFormula>
    </tableColumn>
    <tableColumn id="9" xr3:uid="{95A6B7DE-63F1-4555-BF43-F179EEE0886C}" name="Existing Controls" dataDxfId="24"/>
    <tableColumn id="10" xr3:uid="{689406B0-E085-4145-AB70-D6C66958AADA}" name="Risk Owner" dataDxfId="23"/>
    <tableColumn id="11" xr3:uid="{958E469F-9C95-4411-8D18-7E804C5FD366}" name="Treatment" dataDxfId="22"/>
    <tableColumn id="12" xr3:uid="{B3A40F82-4F23-4676-8EB8-AEA8DBD8F428}" name="Residual Risk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B3A28C-4492-4B94-A235-E7B7B144C700}" name="Table3" displayName="Table3" ref="A20:B24" totalsRowShown="0" headerRowDxfId="0" headerRowBorderDxfId="4" tableBorderDxfId="5" totalsRowBorderDxfId="3">
  <autoFilter ref="A20:B24" xr:uid="{96B3A28C-4492-4B94-A235-E7B7B144C700}"/>
  <tableColumns count="2">
    <tableColumn id="1" xr3:uid="{CAF79414-A74E-4F1E-B43F-7C1C9BC85B88}" name="Score" dataDxfId="2"/>
    <tableColumn id="2" xr3:uid="{18E73911-A811-490D-8915-51FF9020CB7A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531DE-5287-4E8F-B4BF-132DA93BEF37}">
  <dimension ref="A1:L24"/>
  <sheetViews>
    <sheetView tabSelected="1" workbookViewId="0">
      <pane ySplit="1" topLeftCell="A12" activePane="bottomLeft" state="frozen"/>
      <selection pane="bottomLeft" activeCell="I18" sqref="I18"/>
    </sheetView>
  </sheetViews>
  <sheetFormatPr defaultRowHeight="14.4" x14ac:dyDescent="0.3"/>
  <cols>
    <col min="1" max="1" width="11.5546875" bestFit="1" customWidth="1"/>
    <col min="2" max="2" width="12.6640625" bestFit="1" customWidth="1"/>
    <col min="3" max="3" width="10.33203125" bestFit="1" customWidth="1"/>
    <col min="4" max="4" width="19.88671875" style="12" bestFit="1" customWidth="1"/>
    <col min="5" max="5" width="19" bestFit="1" customWidth="1"/>
    <col min="6" max="6" width="15.77734375" bestFit="1" customWidth="1"/>
    <col min="7" max="7" width="14.88671875" bestFit="1" customWidth="1"/>
    <col min="8" max="8" width="11.109375" bestFit="1" customWidth="1"/>
    <col min="9" max="9" width="20.6640625" bestFit="1" customWidth="1"/>
    <col min="10" max="10" width="15.5546875" bestFit="1" customWidth="1"/>
    <col min="11" max="11" width="14.33203125" bestFit="1" customWidth="1"/>
    <col min="12" max="12" width="17.21875" bestFit="1" customWidth="1"/>
  </cols>
  <sheetData>
    <row r="1" spans="1:12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</row>
    <row r="2" spans="1:12" ht="40.799999999999997" thickBot="1" x14ac:dyDescent="0.35">
      <c r="A2" s="3" t="s">
        <v>12</v>
      </c>
      <c r="B2" s="1" t="s">
        <v>13</v>
      </c>
      <c r="C2" s="1" t="s">
        <v>14</v>
      </c>
      <c r="D2" s="1" t="s">
        <v>15</v>
      </c>
      <c r="E2" s="2">
        <v>4</v>
      </c>
      <c r="F2" s="2">
        <v>4</v>
      </c>
      <c r="G2" s="2">
        <f>E2*F2</f>
        <v>16</v>
      </c>
      <c r="H2" s="1" t="str">
        <f>IF(G2&gt;=17,"Critical",IF(G2&gt;=10,"High",IF(G2&gt;=5,"Medium","Low")))</f>
        <v>High</v>
      </c>
      <c r="I2" s="1" t="s">
        <v>17</v>
      </c>
      <c r="J2" s="1" t="s">
        <v>18</v>
      </c>
      <c r="K2" s="1" t="s">
        <v>19</v>
      </c>
      <c r="L2" s="4">
        <v>8</v>
      </c>
    </row>
    <row r="3" spans="1:12" ht="40.799999999999997" thickBot="1" x14ac:dyDescent="0.35">
      <c r="A3" s="3" t="s">
        <v>20</v>
      </c>
      <c r="B3" s="1" t="s">
        <v>21</v>
      </c>
      <c r="C3" s="1" t="s">
        <v>22</v>
      </c>
      <c r="D3" s="1" t="s">
        <v>23</v>
      </c>
      <c r="E3" s="2">
        <v>3</v>
      </c>
      <c r="F3" s="2">
        <v>5</v>
      </c>
      <c r="G3" s="2">
        <f t="shared" ref="G3:G16" si="0">E3*F3</f>
        <v>15</v>
      </c>
      <c r="H3" s="1" t="str">
        <f t="shared" ref="H3:H16" si="1">IF(G3&gt;=17,"Critical",IF(G3&gt;=10,"High",IF(G3&gt;=5,"Medium","Low")))</f>
        <v>High</v>
      </c>
      <c r="I3" s="1" t="s">
        <v>24</v>
      </c>
      <c r="J3" s="1" t="s">
        <v>18</v>
      </c>
      <c r="K3" s="1" t="s">
        <v>19</v>
      </c>
      <c r="L3" s="4">
        <v>6</v>
      </c>
    </row>
    <row r="4" spans="1:12" ht="27.6" thickBot="1" x14ac:dyDescent="0.35">
      <c r="A4" s="3" t="s">
        <v>25</v>
      </c>
      <c r="B4" s="1" t="s">
        <v>26</v>
      </c>
      <c r="C4" s="1" t="s">
        <v>27</v>
      </c>
      <c r="D4" s="1" t="s">
        <v>28</v>
      </c>
      <c r="E4" s="2">
        <v>4</v>
      </c>
      <c r="F4" s="2">
        <v>4</v>
      </c>
      <c r="G4" s="2">
        <f t="shared" si="0"/>
        <v>16</v>
      </c>
      <c r="H4" s="1" t="str">
        <f t="shared" si="1"/>
        <v>High</v>
      </c>
      <c r="I4" s="1" t="s">
        <v>29</v>
      </c>
      <c r="J4" s="1" t="s">
        <v>18</v>
      </c>
      <c r="K4" s="1" t="s">
        <v>19</v>
      </c>
      <c r="L4" s="4">
        <v>8</v>
      </c>
    </row>
    <row r="5" spans="1:12" ht="54" thickBot="1" x14ac:dyDescent="0.35">
      <c r="A5" s="3" t="s">
        <v>30</v>
      </c>
      <c r="B5" s="1" t="s">
        <v>31</v>
      </c>
      <c r="C5" s="1" t="s">
        <v>32</v>
      </c>
      <c r="D5" s="1" t="s">
        <v>33</v>
      </c>
      <c r="E5" s="2">
        <v>2</v>
      </c>
      <c r="F5" s="2">
        <v>5</v>
      </c>
      <c r="G5" s="2">
        <f t="shared" si="0"/>
        <v>10</v>
      </c>
      <c r="H5" s="1" t="str">
        <f t="shared" si="1"/>
        <v>High</v>
      </c>
      <c r="I5" s="1" t="s">
        <v>34</v>
      </c>
      <c r="J5" s="1" t="s">
        <v>18</v>
      </c>
      <c r="K5" s="1" t="s">
        <v>19</v>
      </c>
      <c r="L5" s="4">
        <v>5</v>
      </c>
    </row>
    <row r="6" spans="1:12" ht="40.799999999999997" thickBot="1" x14ac:dyDescent="0.35">
      <c r="A6" s="3" t="s">
        <v>35</v>
      </c>
      <c r="B6" s="1" t="s">
        <v>36</v>
      </c>
      <c r="C6" s="1" t="s">
        <v>37</v>
      </c>
      <c r="D6" s="1" t="s">
        <v>38</v>
      </c>
      <c r="E6" s="2">
        <v>3</v>
      </c>
      <c r="F6" s="2">
        <v>4</v>
      </c>
      <c r="G6" s="2">
        <f t="shared" si="0"/>
        <v>12</v>
      </c>
      <c r="H6" s="1" t="str">
        <f t="shared" si="1"/>
        <v>High</v>
      </c>
      <c r="I6" s="1" t="s">
        <v>39</v>
      </c>
      <c r="J6" s="1" t="s">
        <v>40</v>
      </c>
      <c r="K6" s="1" t="s">
        <v>19</v>
      </c>
      <c r="L6" s="4">
        <v>6</v>
      </c>
    </row>
    <row r="7" spans="1:12" ht="40.799999999999997" thickBot="1" x14ac:dyDescent="0.35">
      <c r="A7" s="3" t="s">
        <v>41</v>
      </c>
      <c r="B7" s="1" t="s">
        <v>42</v>
      </c>
      <c r="C7" s="1" t="s">
        <v>43</v>
      </c>
      <c r="D7" s="1" t="s">
        <v>44</v>
      </c>
      <c r="E7" s="2">
        <v>2</v>
      </c>
      <c r="F7" s="2">
        <v>5</v>
      </c>
      <c r="G7" s="2">
        <f t="shared" si="0"/>
        <v>10</v>
      </c>
      <c r="H7" s="1" t="str">
        <f t="shared" si="1"/>
        <v>High</v>
      </c>
      <c r="I7" s="1" t="s">
        <v>45</v>
      </c>
      <c r="J7" s="1" t="s">
        <v>18</v>
      </c>
      <c r="K7" s="1" t="s">
        <v>19</v>
      </c>
      <c r="L7" s="4">
        <v>4</v>
      </c>
    </row>
    <row r="8" spans="1:12" ht="27.6" thickBot="1" x14ac:dyDescent="0.35">
      <c r="A8" s="3" t="s">
        <v>46</v>
      </c>
      <c r="B8" s="1" t="s">
        <v>21</v>
      </c>
      <c r="C8" s="1" t="s">
        <v>22</v>
      </c>
      <c r="D8" s="1" t="s">
        <v>47</v>
      </c>
      <c r="E8" s="2">
        <v>2</v>
      </c>
      <c r="F8" s="2">
        <v>5</v>
      </c>
      <c r="G8" s="2">
        <f t="shared" si="0"/>
        <v>10</v>
      </c>
      <c r="H8" s="1" t="str">
        <f t="shared" si="1"/>
        <v>High</v>
      </c>
      <c r="I8" s="1" t="s">
        <v>48</v>
      </c>
      <c r="J8" s="1" t="s">
        <v>49</v>
      </c>
      <c r="K8" s="1" t="s">
        <v>19</v>
      </c>
      <c r="L8" s="4">
        <v>5</v>
      </c>
    </row>
    <row r="9" spans="1:12" ht="40.799999999999997" thickBot="1" x14ac:dyDescent="0.35">
      <c r="A9" s="3" t="s">
        <v>50</v>
      </c>
      <c r="B9" s="1" t="s">
        <v>13</v>
      </c>
      <c r="C9" s="1" t="s">
        <v>14</v>
      </c>
      <c r="D9" s="1" t="s">
        <v>51</v>
      </c>
      <c r="E9" s="2">
        <v>4</v>
      </c>
      <c r="F9" s="2">
        <v>3</v>
      </c>
      <c r="G9" s="2">
        <f t="shared" si="0"/>
        <v>12</v>
      </c>
      <c r="H9" s="1" t="str">
        <f t="shared" si="1"/>
        <v>High</v>
      </c>
      <c r="I9" s="1" t="s">
        <v>52</v>
      </c>
      <c r="J9" s="1" t="s">
        <v>18</v>
      </c>
      <c r="K9" s="1" t="s">
        <v>19</v>
      </c>
      <c r="L9" s="4">
        <v>4</v>
      </c>
    </row>
    <row r="10" spans="1:12" ht="27.6" thickBot="1" x14ac:dyDescent="0.35">
      <c r="A10" s="3" t="s">
        <v>53</v>
      </c>
      <c r="B10" s="1" t="s">
        <v>26</v>
      </c>
      <c r="C10" s="1" t="s">
        <v>27</v>
      </c>
      <c r="D10" s="1" t="s">
        <v>54</v>
      </c>
      <c r="E10" s="2">
        <v>3</v>
      </c>
      <c r="F10" s="2">
        <v>3</v>
      </c>
      <c r="G10" s="2">
        <f t="shared" si="0"/>
        <v>9</v>
      </c>
      <c r="H10" s="1" t="str">
        <f t="shared" si="1"/>
        <v>Medium</v>
      </c>
      <c r="I10" s="1" t="s">
        <v>56</v>
      </c>
      <c r="J10" s="1" t="s">
        <v>18</v>
      </c>
      <c r="K10" s="1" t="s">
        <v>19</v>
      </c>
      <c r="L10" s="4">
        <v>3</v>
      </c>
    </row>
    <row r="11" spans="1:12" ht="54" thickBot="1" x14ac:dyDescent="0.35">
      <c r="A11" s="3" t="s">
        <v>57</v>
      </c>
      <c r="B11" s="1" t="s">
        <v>21</v>
      </c>
      <c r="C11" s="1" t="s">
        <v>22</v>
      </c>
      <c r="D11" s="1" t="s">
        <v>58</v>
      </c>
      <c r="E11" s="2">
        <v>2</v>
      </c>
      <c r="F11" s="2">
        <v>5</v>
      </c>
      <c r="G11" s="2">
        <f t="shared" si="0"/>
        <v>10</v>
      </c>
      <c r="H11" s="1" t="str">
        <f t="shared" si="1"/>
        <v>High</v>
      </c>
      <c r="I11" s="1" t="s">
        <v>59</v>
      </c>
      <c r="J11" s="1" t="s">
        <v>60</v>
      </c>
      <c r="K11" s="1" t="s">
        <v>19</v>
      </c>
      <c r="L11" s="4">
        <v>4</v>
      </c>
    </row>
    <row r="12" spans="1:12" ht="40.799999999999997" thickBot="1" x14ac:dyDescent="0.35">
      <c r="A12" s="3" t="s">
        <v>61</v>
      </c>
      <c r="B12" s="1" t="s">
        <v>62</v>
      </c>
      <c r="C12" s="1" t="s">
        <v>63</v>
      </c>
      <c r="D12" s="1" t="s">
        <v>64</v>
      </c>
      <c r="E12" s="2">
        <v>3</v>
      </c>
      <c r="F12" s="2">
        <v>5</v>
      </c>
      <c r="G12" s="2">
        <f t="shared" si="0"/>
        <v>15</v>
      </c>
      <c r="H12" s="1" t="str">
        <f t="shared" si="1"/>
        <v>High</v>
      </c>
      <c r="I12" s="1" t="s">
        <v>65</v>
      </c>
      <c r="J12" s="1" t="s">
        <v>66</v>
      </c>
      <c r="K12" s="1" t="s">
        <v>19</v>
      </c>
      <c r="L12" s="4">
        <v>6</v>
      </c>
    </row>
    <row r="13" spans="1:12" ht="40.799999999999997" thickBot="1" x14ac:dyDescent="0.35">
      <c r="A13" s="3" t="s">
        <v>67</v>
      </c>
      <c r="B13" s="1" t="s">
        <v>68</v>
      </c>
      <c r="C13" s="1" t="s">
        <v>69</v>
      </c>
      <c r="D13" s="1" t="s">
        <v>70</v>
      </c>
      <c r="E13" s="2">
        <v>3</v>
      </c>
      <c r="F13" s="2">
        <v>4</v>
      </c>
      <c r="G13" s="2">
        <f t="shared" si="0"/>
        <v>12</v>
      </c>
      <c r="H13" s="1" t="str">
        <f t="shared" si="1"/>
        <v>High</v>
      </c>
      <c r="I13" s="1" t="s">
        <v>71</v>
      </c>
      <c r="J13" s="1" t="s">
        <v>72</v>
      </c>
      <c r="K13" s="1" t="s">
        <v>19</v>
      </c>
      <c r="L13" s="4">
        <v>5</v>
      </c>
    </row>
    <row r="14" spans="1:12" ht="54" thickBot="1" x14ac:dyDescent="0.35">
      <c r="A14" s="3" t="s">
        <v>73</v>
      </c>
      <c r="B14" s="1" t="s">
        <v>74</v>
      </c>
      <c r="C14" s="1" t="s">
        <v>75</v>
      </c>
      <c r="D14" s="1" t="s">
        <v>76</v>
      </c>
      <c r="E14" s="2">
        <v>3</v>
      </c>
      <c r="F14" s="2">
        <v>3</v>
      </c>
      <c r="G14" s="2">
        <f t="shared" si="0"/>
        <v>9</v>
      </c>
      <c r="H14" s="1" t="str">
        <f t="shared" si="1"/>
        <v>Medium</v>
      </c>
      <c r="I14" s="1" t="s">
        <v>77</v>
      </c>
      <c r="J14" s="1" t="s">
        <v>60</v>
      </c>
      <c r="K14" s="1" t="s">
        <v>19</v>
      </c>
      <c r="L14" s="4">
        <v>4</v>
      </c>
    </row>
    <row r="15" spans="1:12" ht="54" thickBot="1" x14ac:dyDescent="0.35">
      <c r="A15" s="3" t="s">
        <v>78</v>
      </c>
      <c r="B15" s="1" t="s">
        <v>79</v>
      </c>
      <c r="C15" s="1" t="s">
        <v>80</v>
      </c>
      <c r="D15" s="1" t="s">
        <v>81</v>
      </c>
      <c r="E15" s="2">
        <v>3</v>
      </c>
      <c r="F15" s="2">
        <v>4</v>
      </c>
      <c r="G15" s="2">
        <f t="shared" si="0"/>
        <v>12</v>
      </c>
      <c r="H15" s="1" t="str">
        <f t="shared" si="1"/>
        <v>High</v>
      </c>
      <c r="I15" s="1" t="s">
        <v>82</v>
      </c>
      <c r="J15" s="1" t="s">
        <v>49</v>
      </c>
      <c r="K15" s="1" t="s">
        <v>19</v>
      </c>
      <c r="L15" s="4">
        <v>5</v>
      </c>
    </row>
    <row r="16" spans="1:12" ht="27.6" thickBot="1" x14ac:dyDescent="0.35">
      <c r="A16" s="8" t="s">
        <v>83</v>
      </c>
      <c r="B16" s="9" t="s">
        <v>84</v>
      </c>
      <c r="C16" s="9" t="s">
        <v>85</v>
      </c>
      <c r="D16" s="9" t="s">
        <v>86</v>
      </c>
      <c r="E16" s="10">
        <v>3</v>
      </c>
      <c r="F16" s="10">
        <v>4</v>
      </c>
      <c r="G16" s="2">
        <f t="shared" si="0"/>
        <v>12</v>
      </c>
      <c r="H16" s="1" t="str">
        <f t="shared" si="1"/>
        <v>High</v>
      </c>
      <c r="I16" s="9" t="s">
        <v>87</v>
      </c>
      <c r="J16" s="9" t="s">
        <v>40</v>
      </c>
      <c r="K16" s="9" t="s">
        <v>19</v>
      </c>
      <c r="L16" s="11">
        <v>5</v>
      </c>
    </row>
    <row r="20" spans="1:2" ht="15" thickBot="1" x14ac:dyDescent="0.35">
      <c r="A20" s="5" t="s">
        <v>88</v>
      </c>
      <c r="B20" s="7" t="s">
        <v>7</v>
      </c>
    </row>
    <row r="21" spans="1:2" ht="15" thickBot="1" x14ac:dyDescent="0.35">
      <c r="A21" s="13" t="s">
        <v>91</v>
      </c>
      <c r="B21" s="14" t="s">
        <v>89</v>
      </c>
    </row>
    <row r="22" spans="1:2" ht="15" thickBot="1" x14ac:dyDescent="0.35">
      <c r="A22" s="13" t="s">
        <v>92</v>
      </c>
      <c r="B22" s="14" t="s">
        <v>55</v>
      </c>
    </row>
    <row r="23" spans="1:2" ht="15" thickBot="1" x14ac:dyDescent="0.35">
      <c r="A23" s="13" t="s">
        <v>93</v>
      </c>
      <c r="B23" s="14" t="s">
        <v>16</v>
      </c>
    </row>
    <row r="24" spans="1:2" x14ac:dyDescent="0.3">
      <c r="A24" s="16" t="s">
        <v>94</v>
      </c>
      <c r="B24" s="15" t="s">
        <v>90</v>
      </c>
    </row>
  </sheetData>
  <conditionalFormatting sqref="G1:G1048576">
    <cfRule type="cellIs" dxfId="10" priority="4" operator="between">
      <formula>1</formula>
      <formula>4</formula>
    </cfRule>
    <cfRule type="cellIs" dxfId="11" priority="3" operator="between">
      <formula>5</formula>
      <formula>9</formula>
    </cfRule>
    <cfRule type="cellIs" dxfId="12" priority="2" operator="between">
      <formula>10</formula>
      <formula>16</formula>
    </cfRule>
    <cfRule type="cellIs" dxfId="9" priority="1" operator="between">
      <formula>17</formula>
      <formula>25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 Moore (M.Moore.22)</dc:creator>
  <cp:lastModifiedBy>Millie Moore (M.Moore.22)</cp:lastModifiedBy>
  <dcterms:created xsi:type="dcterms:W3CDTF">2026-06-18T11:50:53Z</dcterms:created>
  <dcterms:modified xsi:type="dcterms:W3CDTF">2026-06-18T19:34:05Z</dcterms:modified>
</cp:coreProperties>
</file>